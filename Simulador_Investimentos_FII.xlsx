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910df1ce7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" sheetId="1" r:id="R730662273b7944b3"/>
    <x:sheet xmlns:r="http://schemas.openxmlformats.org/officeDocument/2006/relationships" name="Planilha2" sheetId="2" r:id="R9b1bd5f6c1114b89"/>
  </x:sheets>
  <x:definedNames>
    <x:definedName name="aporte">APP!$D$17</x:definedName>
    <x:definedName name="patrimonio">APP!$D$20</x:definedName>
    <x:definedName name="qtd_anos">APP!$D$18</x:definedName>
    <x:definedName name="rendimento_carteira">APP!$D$13</x:definedName>
    <x:definedName name="salario">APP!$D$12</x:definedName>
    <x:definedName name="sugestao_investimento">APP!$D$14</x:definedName>
    <x:definedName name="taxa_mensal">APP!$D$19</x:definedName>
  </x:definedNames>
</x:workbook>
</file>

<file path=xl/comments1.xml><?xml version="1.0" encoding="utf-8"?>
<x:comments xmlns:x="http://schemas.openxmlformats.org/spreadsheetml/2006/main">
  <x:authors>
    <x:author>tc={8D1B79D8-D928-91BA-D086-ECD88A3C0E52}</x:author>
    <x:author>tc={6FE0CD38-CB38-BEF4-2E7B-7FC7441BD1FD}</x:author>
  </x:authors>
  <x:commentList>
    <x:comment ref="D1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Premissa educacional: informe a taxa mensal esperada. Rentabilidade passada não garante retorno futuro.</x:t>
        </x:r>
      </x:text>
    </x:comment>
    <x:comment ref="C3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Escolha um perfil para atualizar automaticamente a distribuição sugerida entre os tipos de FII.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<x:sst xmlns:x="http://schemas.openxmlformats.org/spreadsheetml/2006/main">
  <x:si>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CONFIGURAÇÕES</x:t>
  </x:si>
  <x:si>
    <x:t xml:space="preserve">Salário</x:t>
  </x:si>
  <x:si>
    <x:t xml:space="preserve">Rendimento Carteira</x:t>
  </x:si>
  <x:si>
    <x:t xml:space="preserve">Sugestão de Investimento (30%)</x:t>
  </x:si>
  <x:si>
    <x:t xml:space="preserve">INVESTIMENTO MENSAL</x:t>
  </x:si>
  <x:si>
    <x:t xml:space="preserve">Quanto investir por mês ?</x:t>
  </x:si>
  <x:si>
    <x:t xml:space="preserve">Por Quantos Anos ?</x:t>
  </x:si>
  <x:si>
    <x:t xml:space="preserve">Taxa de Rendimento mensal ?</x:t>
  </x:si>
  <x:si>
    <x:t xml:space="preserve">Patrimônio acumulado ?</x:t>
  </x:si>
  <x:si>
    <x:t xml:space="preserve">Dividendos Mensais ?</x:t>
  </x:si>
  <x:si>
    <x:t xml:space="preserve"> Cenários</x:t>
  </x:si>
  <x:si>
    <x:t xml:space="preserve">Dividendo</x:t>
  </x:si>
  <x:si>
    <x:t xml:space="preserve">Quanto em 2 Anos ?</x:t>
  </x:si>
  <x:si>
    <x:t xml:space="preserve">Quanto em 5 Anos ?</x:t>
  </x:si>
  <x:si>
    <x:t xml:space="preserve">Quanto em 10 Anos ?</x:t>
  </x:si>
  <x:si>
    <x:t xml:space="preserve">Quanto em 20 Anos ?</x:t>
  </x:si>
  <x:si>
    <x:t xml:space="preserve">Quanto em 30 Anos ?</x:t>
  </x:si>
  <x:si>
    <x:t xml:space="preserve">PERFIL</x:t>
  </x:si>
  <x:si>
    <x:t xml:space="preserve">Moderado</x:t>
  </x:si>
  <x:si>
    <x:t xml:space="preserve">VALOR A SER INVESTIDO POR MÊS</x:t>
  </x:si>
  <x:si>
    <x:t xml:space="preserve">TIPO DE FII</x:t>
  </x:si>
  <x:si>
    <x:t xml:space="preserve">Percentual Sugerido</x:t>
  </x:si>
  <x:si>
    <x:t xml:space="preserve">Valores</x:t>
  </x:si>
  <x:si>
    <x:t xml:space="preserve">PAPEL</x:t>
  </x:si>
  <x:si>
    <x:t xml:space="preserve">TIJOLO</x:t>
  </x:si>
  <x:si>
    <x:t xml:space="preserve">HÍBRIDOS</x:t>
  </x:si>
  <x:si>
    <x:t xml:space="preserve">FOFs</x:t>
  </x:si>
  <x:si>
    <x:t xml:space="preserve">DESENVOLVIMENTO</x:t>
  </x:si>
  <x:si>
    <x:t xml:space="preserve">HOTELARIAS</x:t>
  </x:si>
  <x:si>
    <x:t xml:space="preserve">CHAVE</x:t>
  </x:si>
  <x:si>
    <x:t xml:space="preserve">%</x:t>
  </x:si>
  <x:si>
    <x:t xml:space="preserve">Conservador</x:t>
  </x:si>
  <x:si>
    <x:t xml:space="preserve">Moderado-TIJOLO</x:t>
  </x:si>
  <x:si>
    <x:t xml:space="preserve">Agressivo</x:t>
  </x:si>
</x:sst>
</file>

<file path=xl/styles.xml><?xml version="1.0" encoding="utf-8"?>
<x:styleSheet xmlns:x="http://schemas.openxmlformats.org/spreadsheetml/2006/main">
  <x:numFmts count="3">
    <x:numFmt numFmtId="8" formatCode="&quot;R$&quot;\ #,##0.00;[Red]\-&quot;R$&quot;\ #,##0.00"/>
    <x:numFmt numFmtId="44" formatCode="_-&quot;R$&quot;\ * #,##0.00_-;\-&quot;R$&quot;\ * #,##0.00_-;_-&quot;R$&quot;\ * &quot;-&quot;??_-;_-@_-"/>
    <x:numFmt numFmtId="167" formatCode="&quot;R$&quot;\ #,##0.00"/>
  </x:numFmts>
  <x:fonts count="22">
    <x:font>
      <x:sz val="11"/>
      <x:color theme="1"/>
      <x:name val="Aptos Narrow"/>
    </x:font>
    <x:font>
      <x:sz val="11"/>
      <x:color theme="1"/>
      <x:name val="Aptos Narrow"/>
    </x:font>
    <x:font>
      <x:sz val="11"/>
      <x:color rgb="FF9C5700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b/>
      <x:sz val="18"/>
      <x:color theme="0"/>
      <x:name val="Segoe UI Semibold"/>
    </x:font>
    <x:font>
      <x:sz val="11"/>
      <x:color theme="1"/>
      <x:name val="Segoe UI Semibold"/>
    </x:font>
    <x:font>
      <x:b/>
      <x:sz val="20"/>
      <x:color theme="0"/>
      <x:name val="Segoe UI Semibold"/>
    </x:font>
    <x:font>
      <x:b/>
      <x:sz val="12"/>
      <x:color theme="0"/>
      <x:name val="Segoe UI Semibold"/>
    </x:font>
    <x:font>
      <x:sz val="12"/>
      <x:color theme="1"/>
      <x:name val="Segoe UI"/>
    </x:font>
    <x:font>
      <x:sz val="11"/>
      <x:color theme="1"/>
      <x:name val="Segoe UI"/>
    </x:font>
    <x:font>
      <x:b/>
      <x:sz val="11"/>
      <x:color theme="1"/>
      <x:name val="Segoe UI"/>
    </x:font>
    <x:font>
      <x:b/>
      <x:sz val="12"/>
      <x:color theme="1"/>
      <x:name val="Segoe UI"/>
    </x:font>
    <x:font>
      <x:sz val="11"/>
      <x:color rgb="FF0000FF"/>
      <x:name val="Segoe UI"/>
    </x:font>
    <x:font>
      <x:b/>
      <x:sz val="11"/>
      <x:color rgb="FF0000FF"/>
      <x:name val="Segoe UI"/>
    </x:font>
    <x:font>
      <x:sz val="11"/>
      <x:color rgb="FF0000FF"/>
      <x:name val="Aptos Narrow"/>
    </x:font>
    <x:font>
      <x:sz val="11"/>
      <x:color rgb="FF000000"/>
      <x:name val="Segoe UI"/>
    </x:font>
    <x:font>
      <x:sz val="11"/>
      <x:color rgb="FF000000"/>
      <x:name val="Aptos Narrow"/>
    </x:font>
    <x:font>
      <x:b/>
      <x:sz val="20"/>
      <x:color rgb="FF000000"/>
      <x:name val="Segoe UI Semibold"/>
    </x:font>
    <x:font>
      <x:b/>
      <x:sz val="11"/>
      <x:color rgb="FF000000"/>
      <x:name val="Segoe UI"/>
    </x:font>
    <x:font>
      <x:sz val="11"/>
      <x:color rgb="FF008000"/>
      <x:name val="Aptos Narrow"/>
    </x:font>
    <x:font>
      <x:i/>
      <x:sz val="10"/>
      <x:color rgb="FF1B5E20"/>
      <x:name val="Aptos Narrow"/>
    </x:font>
  </x:fonts>
  <x:fills count="11">
    <x:fill>
      <x:patternFill patternType="none"/>
    </x:fill>
    <x:fill>
      <x:patternFill patternType="gray125"/>
    </x:fill>
    <x:fill>
      <x:patternFill patternType="solid">
        <x:fgColor rgb="FFFFEB9C"/>
      </x:patternFill>
    </x:fill>
    <x:fill>
      <x:patternFill patternType="solid">
        <x:fgColor theme="6"/>
      </x:patternFill>
    </x:fill>
    <x:fill>
      <x:patternFill patternType="solid">
        <x:fgColor theme="0" tint="-0.15"/>
      </x:patternFill>
    </x:fill>
    <x:fill>
      <x:patternFill patternType="solid">
        <x:fgColor rgb="FFFFC000"/>
      </x:patternFill>
    </x:fill>
    <x:fill>
      <x:patternFill patternType="solid">
        <x:fgColor theme="0" tint="-0.04999"/>
      </x:patternFill>
    </x:fill>
    <x:fill>
      <x:patternFill patternType="solid">
        <x:fgColor theme="2" tint="-0.24998"/>
      </x:patternFill>
    </x:fill>
    <x:fill>
      <x:patternFill patternType="solid">
        <x:fgColor rgb="FFFFFF00"/>
      </x:patternFill>
    </x:fill>
    <x:fill>
      <x:patternFill patternType="solid">
        <x:fgColor theme="1"/>
      </x:patternFill>
    </x:fill>
    <x:fill>
      <x:patternFill patternType="solid">
        <x:fgColor rgb="FFE8F1E8"/>
      </x:patternFill>
    </x:fill>
  </x:fills>
  <x:borders count="23">
    <x:border/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indexed="64"/>
      </x:top>
    </x:border>
    <x:border>
      <x:bottom style="medium">
        <x:color indexed="64"/>
      </x:bottom>
    </x:border>
    <x:border>
      <x:left style="medium">
        <x:color indexed="64"/>
      </x:left>
      <x:right style="hair">
        <x:color theme="0" tint="-0.14997"/>
      </x:right>
      <x:bottom style="hair">
        <x:color theme="0" tint="-0.14997"/>
      </x:bottom>
    </x:border>
    <x:border>
      <x:left style="hair">
        <x:color theme="0" tint="-0.14997"/>
      </x:left>
      <x:right style="hair">
        <x:color theme="0" tint="-0.14997"/>
      </x:right>
      <x:bottom style="hair">
        <x:color theme="0" tint="-0.14997"/>
      </x:bottom>
    </x:border>
    <x:border>
      <x:left style="hair">
        <x:color theme="0" tint="-0.14997"/>
      </x:left>
      <x:right style="medium">
        <x:color indexed="64"/>
      </x:right>
      <x:bottom style="hair">
        <x:color theme="0" tint="-0.14997"/>
      </x:bottom>
    </x:border>
    <x:border>
      <x:left style="medium">
        <x:color indexed="64"/>
      </x:left>
      <x:right style="hair">
        <x:color theme="0" tint="-0.14997"/>
      </x:right>
      <x:top style="hair">
        <x:color theme="0" tint="-0.14997"/>
      </x:top>
      <x:bottom style="hair">
        <x:color theme="0" tint="-0.14997"/>
      </x:bottom>
    </x:border>
    <x:border>
      <x:left style="hair">
        <x:color theme="0" tint="-0.14997"/>
      </x:left>
      <x:right style="hair">
        <x:color theme="0" tint="-0.14997"/>
      </x:right>
      <x:top style="hair">
        <x:color theme="0" tint="-0.14997"/>
      </x:top>
      <x:bottom style="hair">
        <x:color theme="0" tint="-0.14997"/>
      </x:bottom>
    </x:border>
    <x:border>
      <x:left style="hair">
        <x:color theme="0" tint="-0.14997"/>
      </x:left>
      <x:right style="medium">
        <x:color indexed="64"/>
      </x:right>
      <x:top style="hair">
        <x:color theme="0" tint="-0.14997"/>
      </x:top>
      <x:bottom style="hair">
        <x:color theme="0" tint="-0.14997"/>
      </x:bottom>
    </x:border>
    <x:border>
      <x:left style="medium">
        <x:color indexed="64"/>
      </x:left>
      <x:right style="hair">
        <x:color theme="0" tint="-0.14997"/>
      </x:right>
      <x:top style="hair">
        <x:color theme="0" tint="-0.14997"/>
      </x:top>
      <x:bottom style="medium">
        <x:color indexed="64"/>
      </x:bottom>
    </x:border>
    <x:border>
      <x:left style="hair">
        <x:color theme="0" tint="-0.14997"/>
      </x:left>
      <x:right style="hair">
        <x:color theme="0" tint="-0.14997"/>
      </x:right>
      <x:top style="hair">
        <x:color theme="0" tint="-0.14997"/>
      </x:top>
      <x:bottom style="medium">
        <x:color indexed="64"/>
      </x:bottom>
    </x:border>
    <x:border>
      <x:left style="hair">
        <x:color theme="0" tint="-0.14997"/>
      </x:left>
      <x:right style="medium">
        <x:color indexed="64"/>
      </x:right>
      <x:top style="hair">
        <x:color theme="0" tint="-0.14997"/>
      </x:top>
      <x:bottom style="medium">
        <x:color indexed="64"/>
      </x:bottom>
    </x:border>
    <x:border>
      <x:left style="medium">
        <x:color indexed="64"/>
      </x:left>
      <x:right style="thin">
        <x:color theme="0" tint="-0.34999"/>
      </x:right>
      <x:bottom style="thin">
        <x:color theme="0" tint="-0.34999"/>
      </x:bottom>
    </x:border>
    <x:border>
      <x:left style="thin">
        <x:color theme="0" tint="-0.34999"/>
      </x:left>
      <x:right style="thin">
        <x:color theme="0" tint="-0.34999"/>
      </x:right>
      <x:bottom style="thin">
        <x:color theme="0" tint="-0.34999"/>
      </x:bottom>
    </x:border>
    <x:border>
      <x:left style="thin">
        <x:color theme="0" tint="-0.34999"/>
      </x:left>
      <x:right style="medium">
        <x:color indexed="64"/>
      </x:right>
      <x:bottom style="thin">
        <x:color theme="0" tint="-0.34999"/>
      </x:bottom>
    </x:border>
    <x:border>
      <x:left style="medium">
        <x:color indexed="64"/>
      </x:left>
      <x:right style="thin">
        <x:color theme="0" tint="-0.34999"/>
      </x:right>
      <x:top style="thin">
        <x:color theme="0" tint="-0.34999"/>
      </x:top>
      <x:bottom style="thin">
        <x:color theme="0" tint="-0.34999"/>
      </x:bottom>
    </x:border>
    <x:border>
      <x:left style="thin">
        <x:color theme="0" tint="-0.34999"/>
      </x:left>
      <x:right style="thin">
        <x:color theme="0" tint="-0.34999"/>
      </x:right>
      <x:top style="thin">
        <x:color theme="0" tint="-0.34999"/>
      </x:top>
      <x:bottom style="thin">
        <x:color theme="0" tint="-0.34999"/>
      </x:bottom>
    </x:border>
    <x:border>
      <x:left style="thin">
        <x:color theme="0" tint="-0.34999"/>
      </x:left>
      <x:right style="medium">
        <x:color indexed="64"/>
      </x:right>
      <x:top style="thin">
        <x:color theme="0" tint="-0.34999"/>
      </x:top>
      <x:bottom style="thin">
        <x:color theme="0" tint="-0.34999"/>
      </x:bottom>
    </x:border>
    <x:border>
      <x:left style="medium">
        <x:color indexed="64"/>
      </x:left>
      <x:right style="thin">
        <x:color theme="0" tint="-0.34999"/>
      </x:right>
      <x:top style="thin">
        <x:color theme="0" tint="-0.34999"/>
      </x:top>
      <x:bottom style="medium">
        <x:color indexed="64"/>
      </x:bottom>
    </x:border>
    <x:border>
      <x:left style="thin">
        <x:color theme="0" tint="-0.34999"/>
      </x:left>
      <x:right style="thin">
        <x:color theme="0" tint="-0.34999"/>
      </x:right>
      <x:top style="thin">
        <x:color theme="0" tint="-0.34999"/>
      </x:top>
      <x:bottom style="medium">
        <x:color indexed="64"/>
      </x:bottom>
    </x:border>
    <x:border>
      <x:left style="thin">
        <x:color theme="0" tint="-0.34999"/>
      </x:left>
      <x:right style="medium">
        <x:color indexed="64"/>
      </x:right>
      <x:top style="thin">
        <x:color theme="0" tint="-0.34999"/>
      </x:top>
      <x:bottom style="medium">
        <x:color indexed="64"/>
      </x:bottom>
    </x:border>
  </x:borders>
  <x:cellStyleXfs count="4">
    <x:xf numFmtId="0" fontId="0" fillId="0" borderId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2" fillId="2" borderId="0" applyNumberFormat="0" applyBorder="0" applyAlignment="0" applyProtection="0"/>
  </x:cellStyleXfs>
  <x:cellXfs count="78">
    <x:xf numFmtId="0" fontId="0" fillId="0" borderId="0" xfId="0"/>
    <x:xf numFmtId="0" fontId="4" fillId="0" borderId="0" xfId="0" applyFont="1"/>
    <x:xf numFmtId="0" fontId="0" fillId="0" borderId="0" xfId="0" applyAlignment="1">
      <x:alignment horizontal="center"/>
    </x:xf>
    <x:xf numFmtId="9" fontId="0" fillId="0" borderId="0" xfId="0" applyNumberFormat="1"/>
    <x:xf numFmtId="9" fontId="0" fillId="0" borderId="0" xfId="0" applyNumberFormat="1" applyAlignment="1">
      <x:alignment horizontal="center"/>
    </x:xf>
    <x:xf numFmtId="0" fontId="5" fillId="5" borderId="1" xfId="0" applyFont="1" applyFill="1" applyBorder="1" applyAlignment="1">
      <x:alignment horizontal="right" vertical="center"/>
    </x:xf>
    <x:xf numFmtId="0" fontId="6" fillId="5" borderId="3" xfId="0" applyFont="1" applyFill="1" applyBorder="1" applyAlignment="1">
      <x:alignment horizontal="right"/>
    </x:xf>
    <x:xf numFmtId="0" fontId="5" fillId="5" borderId="2" xfId="0" applyFont="1" applyFill="1" applyBorder="1" applyAlignment="1">
      <x:alignment horizontal="right" vertical="center"/>
    </x:xf>
    <x:xf numFmtId="0" fontId="7" fillId="3" borderId="1" xfId="0" applyFont="1" applyFill="1" applyBorder="1" applyAlignment="1">
      <x:alignment horizontal="center" vertical="center"/>
    </x:xf>
    <x:xf numFmtId="0" fontId="7" fillId="3" borderId="3" xfId="0" applyFont="1" applyFill="1" applyBorder="1" applyAlignment="1">
      <x:alignment horizontal="center" vertical="center"/>
    </x:xf>
    <x:xf numFmtId="0" fontId="7" fillId="3" borderId="2" xfId="0" applyFont="1" applyFill="1" applyBorder="1" applyAlignment="1">
      <x:alignment horizontal="center" vertical="center"/>
    </x:xf>
    <x:xf numFmtId="0" fontId="8" fillId="3" borderId="2" xfId="0" applyFont="1" applyFill="1" applyBorder="1" applyAlignment="1">
      <x:alignment horizontal="center" vertical="center"/>
    </x:xf>
    <x:xf numFmtId="0" fontId="9" fillId="4" borderId="5" xfId="0" applyFont="1" applyFill="1" applyBorder="1" applyAlignment="1">
      <x:alignment horizontal="left"/>
    </x:xf>
    <x:xf numFmtId="167" fontId="10" fillId="4" borderId="6" xfId="0" applyNumberFormat="1" applyFont="1" applyFill="1" applyBorder="1" applyAlignment="1">
      <x:alignment horizontal="center"/>
    </x:xf>
    <x:xf numFmtId="167" fontId="10" fillId="4" borderId="7" xfId="0" applyNumberFormat="1" applyFont="1" applyFill="1" applyBorder="1" applyAlignment="1">
      <x:alignment horizontal="center"/>
    </x:xf>
    <x:xf numFmtId="0" fontId="9" fillId="4" borderId="8" xfId="0" applyFont="1" applyFill="1" applyBorder="1" applyAlignment="1">
      <x:alignment horizontal="left"/>
    </x:xf>
    <x:xf numFmtId="167" fontId="10" fillId="4" borderId="9" xfId="0" applyNumberFormat="1" applyFont="1" applyFill="1" applyBorder="1" applyAlignment="1">
      <x:alignment horizontal="center"/>
    </x:xf>
    <x:xf numFmtId="167" fontId="10" fillId="4" borderId="10" xfId="0" applyNumberFormat="1" applyFont="1" applyFill="1" applyBorder="1" applyAlignment="1">
      <x:alignment horizontal="center"/>
    </x:xf>
    <x:xf numFmtId="0" fontId="9" fillId="4" borderId="11" xfId="0" applyFont="1" applyFill="1" applyBorder="1" applyAlignment="1">
      <x:alignment horizontal="left"/>
    </x:xf>
    <x:xf numFmtId="167" fontId="10" fillId="4" borderId="12" xfId="0" applyNumberFormat="1" applyFont="1" applyFill="1" applyBorder="1" applyAlignment="1">
      <x:alignment horizontal="center"/>
    </x:xf>
    <x:xf numFmtId="167" fontId="10" fillId="4" borderId="13" xfId="0" applyNumberFormat="1" applyFont="1" applyFill="1" applyBorder="1" applyAlignment="1">
      <x:alignment horizontal="center"/>
    </x:xf>
    <x:xf numFmtId="0" fontId="9" fillId="6" borderId="14" xfId="0" applyFont="1" applyFill="1" applyBorder="1" applyAlignment="1">
      <x:alignment horizontal="left"/>
    </x:xf>
    <x:xf numFmtId="0" fontId="9" fillId="6" borderId="15" xfId="0" applyFont="1" applyFill="1" applyBorder="1" applyAlignment="1">
      <x:alignment horizontal="left"/>
    </x:xf>
    <x:xf numFmtId="167" fontId="11" fillId="0" borderId="16" xfId="0" applyNumberFormat="1" applyFont="1" applyBorder="1" applyAlignment="1">
      <x:alignment horizontal="center"/>
    </x:xf>
    <x:xf numFmtId="0" fontId="9" fillId="6" borderId="17" xfId="0" applyFont="1" applyFill="1" applyBorder="1" applyAlignment="1">
      <x:alignment horizontal="left"/>
    </x:xf>
    <x:xf numFmtId="0" fontId="9" fillId="6" borderId="18" xfId="0" applyFont="1" applyFill="1" applyBorder="1" applyAlignment="1">
      <x:alignment horizontal="left"/>
    </x:xf>
    <x:xf numFmtId="0" fontId="11" fillId="0" borderId="19" xfId="0" applyFont="1" applyBorder="1" applyAlignment="1">
      <x:alignment horizontal="center"/>
    </x:xf>
    <x:xf numFmtId="10" fontId="11" fillId="0" borderId="19" xfId="0" applyNumberFormat="1" applyFont="1" applyBorder="1" applyAlignment="1">
      <x:alignment horizontal="center"/>
    </x:xf>
    <x:xf numFmtId="0" fontId="12" fillId="4" borderId="17" xfId="0" applyFont="1" applyFill="1" applyBorder="1" applyAlignment="1">
      <x:alignment horizontal="left"/>
    </x:xf>
    <x:xf numFmtId="0" fontId="12" fillId="4" borderId="18" xfId="0" applyFont="1" applyFill="1" applyBorder="1" applyAlignment="1">
      <x:alignment horizontal="left"/>
    </x:xf>
    <x:xf numFmtId="8" fontId="11" fillId="4" borderId="19" xfId="0" applyNumberFormat="1" applyFont="1" applyFill="1" applyBorder="1" applyAlignment="1">
      <x:alignment horizontal="center"/>
    </x:xf>
    <x:xf numFmtId="0" fontId="12" fillId="4" borderId="20" xfId="0" applyFont="1" applyFill="1" applyBorder="1" applyAlignment="1">
      <x:alignment horizontal="left"/>
    </x:xf>
    <x:xf numFmtId="0" fontId="12" fillId="4" borderId="21" xfId="0" applyFont="1" applyFill="1" applyBorder="1" applyAlignment="1">
      <x:alignment horizontal="left"/>
    </x:xf>
    <x:xf numFmtId="8" fontId="11" fillId="4" borderId="22" xfId="0" applyNumberFormat="1" applyFont="1" applyFill="1" applyBorder="1" applyAlignment="1">
      <x:alignment horizontal="center"/>
    </x:xf>
    <x:xf numFmtId="167" fontId="10" fillId="0" borderId="16" xfId="1" applyNumberFormat="1" applyFont="1" applyBorder="1" applyAlignment="1">
      <x:alignment horizontal="center"/>
    </x:xf>
    <x:xf numFmtId="10" fontId="10" fillId="0" borderId="19" xfId="0" applyNumberFormat="1" applyFont="1" applyBorder="1" applyAlignment="1">
      <x:alignment horizontal="center"/>
    </x:xf>
    <x:xf numFmtId="0" fontId="9" fillId="6" borderId="20" xfId="0" applyFont="1" applyFill="1" applyBorder="1" applyAlignment="1">
      <x:alignment horizontal="left"/>
    </x:xf>
    <x:xf numFmtId="0" fontId="9" fillId="6" borderId="21" xfId="0" applyFont="1" applyFill="1" applyBorder="1" applyAlignment="1">
      <x:alignment horizontal="left"/>
    </x:xf>
    <x:xf numFmtId="167" fontId="10" fillId="6" borderId="22" xfId="0" applyNumberFormat="1" applyFont="1" applyFill="1" applyBorder="1" applyAlignment="1">
      <x:alignment horizontal="center"/>
    </x:xf>
    <x:xf numFmtId="0" fontId="2" fillId="2" borderId="0" xfId="3"/>
    <x:xf numFmtId="0" fontId="2" fillId="2" borderId="0" xfId="3" applyAlignment="1">
      <x:alignment horizontal="center"/>
    </x:xf>
    <x:xf numFmtId="0" fontId="3" fillId="6" borderId="0" xfId="0" applyFont="1" applyFill="1"/>
    <x:xf numFmtId="167" fontId="3" fillId="6" borderId="0" xfId="1" applyNumberFormat="1" applyFont="1" applyFill="1" applyAlignment="1">
      <x:alignment horizontal="center"/>
    </x:xf>
    <x:xf numFmtId="0" fontId="3" fillId="7" borderId="0" xfId="0" applyFont="1" applyFill="1" applyAlignment="1">
      <x:alignment horizontal="center"/>
    </x:xf>
    <x:xf numFmtId="0" fontId="3" fillId="7" borderId="0" xfId="0" applyFont="1" applyFill="1"/>
    <x:xf numFmtId="167" fontId="3" fillId="7" borderId="0" xfId="0" applyNumberFormat="1" applyFont="1" applyFill="1" applyAlignment="1">
      <x:alignment horizontal="center"/>
    </x:xf>
    <x:xf numFmtId="167" fontId="0" fillId="6" borderId="0" xfId="0" applyNumberFormat="1" applyFill="1" applyAlignment="1">
      <x:alignment horizontal="center"/>
    </x:xf>
    <x:xf numFmtId="0" fontId="0" fillId="0" borderId="4" xfId="0" applyBorder="1"/>
    <x:xf numFmtId="0" fontId="0" fillId="0" borderId="4" xfId="0" applyBorder="1" applyAlignment="1">
      <x:alignment horizontal="center"/>
    </x:xf>
    <x:xf numFmtId="9" fontId="0" fillId="0" borderId="4" xfId="0" applyNumberFormat="1" applyBorder="1" applyAlignment="1">
      <x:alignment horizontal="center"/>
    </x:xf>
    <x:xf numFmtId="0" fontId="0" fillId="8" borderId="0" xfId="0" applyFill="1"/>
    <x:xf numFmtId="0" fontId="0" fillId="8" borderId="0" xfId="0" applyFill="1" applyAlignment="1">
      <x:alignment horizontal="center"/>
    </x:xf>
    <x:xf numFmtId="9" fontId="0" fillId="8" borderId="0" xfId="0" applyNumberFormat="1" applyFill="1" applyAlignment="1">
      <x:alignment horizontal="center"/>
    </x:xf>
    <x:xf numFmtId="9" fontId="2" fillId="2" borderId="0" xfId="2" applyFont="1" applyFill="1"/>
    <x:xf numFmtId="0" fontId="4" fillId="9" borderId="0" xfId="0" applyFont="1" applyFill="1"/>
    <x:xf numFmtId="0" fontId="4" fillId="9" borderId="0" xfId="0" applyFont="1" applyFill="1" applyAlignment="1">
      <x:alignment horizontal="center"/>
    </x:xf>
    <x:xf numFmtId="167" fontId="13" fillId="0" borderId="16" xfId="0" applyNumberFormat="1" applyFont="1" applyFill="1" applyBorder="1" applyAlignment="1">
      <x:alignment horizontal="center"/>
    </x:xf>
    <x:xf numFmtId="10" fontId="13" fillId="0" borderId="19" xfId="0" applyNumberFormat="1" applyFont="1" applyFill="1" applyBorder="1" applyAlignment="1">
      <x:alignment horizontal="center"/>
    </x:xf>
    <x:xf numFmtId="167" fontId="14" fillId="0" borderId="16" xfId="0" applyNumberFormat="1" applyFont="1" applyFill="1" applyBorder="1" applyAlignment="1">
      <x:alignment horizontal="center"/>
    </x:xf>
    <x:xf numFmtId="0" fontId="14" fillId="0" borderId="19" xfId="0" applyNumberFormat="1" applyFont="1" applyFill="1" applyBorder="1" applyAlignment="1">
      <x:alignment horizontal="center"/>
    </x:xf>
    <x:xf numFmtId="10" fontId="14" fillId="0" borderId="19" xfId="0" applyNumberFormat="1" applyFont="1" applyFill="1" applyBorder="1" applyAlignment="1">
      <x:alignment horizontal="center"/>
    </x:xf>
    <x:xf numFmtId="0" fontId="15" fillId="2" borderId="0" xfId="0" applyNumberFormat="1" applyFont="1" applyFill="1" applyBorder="1" applyAlignment="1">
      <x:alignment horizontal="center"/>
    </x:xf>
    <x:xf numFmtId="167" fontId="16" fillId="6" borderId="22" xfId="0" applyNumberFormat="1" applyFont="1" applyFill="1" applyBorder="1" applyAlignment="1">
      <x:alignment horizontal="center"/>
    </x:xf>
    <x:xf numFmtId="0" fontId="17" fillId="0" borderId="0" xfId="0" applyNumberFormat="1" applyFont="1" applyFill="1" applyBorder="1"/>
    <x:xf numFmtId="0" fontId="18" fillId="3" borderId="2" xfId="0" applyNumberFormat="1" applyFont="1" applyFill="1" applyBorder="1" applyAlignment="1">
      <x:alignment horizontal="center" vertical="center"/>
    </x:xf>
    <x:xf numFmtId="167" fontId="19" fillId="0" borderId="16" xfId="0" applyNumberFormat="1" applyFont="1" applyFill="1" applyBorder="1" applyAlignment="1">
      <x:alignment horizontal="center"/>
    </x:xf>
    <x:xf numFmtId="0" fontId="19" fillId="0" borderId="19" xfId="0" applyNumberFormat="1" applyFont="1" applyFill="1" applyBorder="1" applyAlignment="1">
      <x:alignment horizontal="center"/>
    </x:xf>
    <x:xf numFmtId="10" fontId="19" fillId="0" borderId="19" xfId="0" applyNumberFormat="1" applyFont="1" applyFill="1" applyBorder="1" applyAlignment="1">
      <x:alignment horizontal="center"/>
    </x:xf>
    <x:xf numFmtId="8" fontId="19" fillId="4" borderId="19" xfId="0" applyNumberFormat="1" applyFont="1" applyFill="1" applyBorder="1" applyAlignment="1">
      <x:alignment horizontal="center"/>
    </x:xf>
    <x:xf numFmtId="8" fontId="19" fillId="4" borderId="22" xfId="0" applyNumberFormat="1" applyFont="1" applyFill="1" applyBorder="1" applyAlignment="1">
      <x:alignment horizontal="center"/>
    </x:xf>
    <x:xf numFmtId="9" fontId="20" fillId="0" borderId="0" xfId="0" applyNumberFormat="1" applyFont="1" applyFill="1" applyBorder="1" applyAlignment="1">
      <x:alignment horizontal="center"/>
    </x:xf>
    <x:xf numFmtId="0" fontId="17" fillId="0" borderId="4" xfId="0" applyNumberFormat="1" applyFont="1" applyFill="1" applyBorder="1"/>
    <x:xf numFmtId="0" fontId="17" fillId="8" borderId="0" xfId="0" applyNumberFormat="1" applyFont="1" applyFill="1" applyBorder="1"/>
    <x:xf numFmtId="0" fontId="0" fillId="10" borderId="0" xfId="0" applyNumberFormat="1" applyFont="1" applyFill="1" applyBorder="1"/>
    <x:xf numFmtId="0" fontId="21" fillId="10" borderId="0" xfId="0" applyNumberFormat="1" applyFont="1" applyFill="1" applyBorder="1"/>
    <x:xf numFmtId="0" fontId="21" fillId="10" borderId="0" xfId="0" applyNumberFormat="1" applyFont="1" applyFill="1" applyBorder="1" applyAlignment="1">
      <x:alignment wrapText="1"/>
    </x:xf>
    <x:xf numFmtId="0" fontId="21" fillId="10" borderId="0" xfId="0" applyNumberFormat="1" applyFont="1" applyFill="1" applyBorder="1" applyAlignment="1">
      <x:alignment horizontal="center" wrapText="1"/>
    </x:xf>
    <x:xf numFmtId="0" fontId="21" fillId="10" borderId="0" xfId="0" applyNumberFormat="1" applyFont="1" applyFill="1" applyBorder="1" applyAlignment="1">
      <x:alignment horizontal="center" vertical="center" wrapText="1"/>
    </x:xf>
  </x:cellXfs>
  <x:cellStyles count="4">
    <x:cellStyle name="Moeda" xfId="1"/>
    <x:cellStyle name="Neutro" xfId="3"/>
    <x:cellStyle name="Normal" xfId="0"/>
    <x:cellStyle name="Porcentagem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707dc287242d0" /><Relationship Type="http://schemas.openxmlformats.org/officeDocument/2006/relationships/theme" Target="/xl/theme/theme1.xml" Id="R00736ae2d41b4beb" /><Relationship Type="http://schemas.openxmlformats.org/officeDocument/2006/relationships/sharedStrings" Target="/xl/sharedStrings.xml" Id="R2d552183dc074c00" /><Relationship Type="http://schemas.openxmlformats.org/officeDocument/2006/relationships/worksheet" Target="/xl/worksheets/sheet1.xml" Id="R730662273b7944b3" /><Relationship Type="http://schemas.openxmlformats.org/officeDocument/2006/relationships/worksheet" Target="/xl/worksheets/sheet2.xml" Id="R9b1bd5f6c1114b89" /><Relationship Type="http://schemas.microsoft.com/office/2017/10/relationships/person" Target="/xl/persons/person.xml" Id="Red7b1684234f4f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cde2dd6164943a2" /><Relationship Type="http://schemas.openxmlformats.org/officeDocument/2006/relationships/chart" Target="/xl/drawings/charts/chart1.xml" Id="Re7ae5d29930d4924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pieChart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spPr>
              <a:gradFill xmlns:a="http://schemas.openxmlformats.org/drawingml/2006/main" rotWithShape="1">
                <a:gsLst>
                  <a:gs pos="0">
                    <a:schemeClr val="accent1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1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1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xmlns:a="http://schemas.openxmlformats.org/drawingml/2006/main" w="9525" cmpd="sng">
                <a:solidFill>
                  <a:schemeClr val="accent1">
                    <a:shade val="95000"/>
                  </a:schemeClr>
                </a:solidFill>
              </a:ln>
            </c:spPr>
          </c:dPt>
          <c:dPt>
            <c:idx val="1"/>
            <c:spPr>
              <a:gradFill xmlns:a="http://schemas.openxmlformats.org/drawingml/2006/main" rotWithShape="1">
                <a:gsLst>
                  <a:gs pos="0">
                    <a:schemeClr val="accent2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2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2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xmlns:a="http://schemas.openxmlformats.org/drawingml/2006/main" w="9525" cmpd="sng">
                <a:solidFill>
                  <a:schemeClr val="accent2">
                    <a:shade val="95000"/>
                  </a:schemeClr>
                </a:solidFill>
              </a:ln>
            </c:spPr>
          </c:dPt>
          <c:dPt>
            <c:idx val="2"/>
            <c:spPr>
              <a:gradFill xmlns:a="http://schemas.openxmlformats.org/drawingml/2006/main" rotWithShape="1">
                <a:gsLst>
                  <a:gs pos="0">
                    <a:schemeClr val="accent3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3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3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xmlns:a="http://schemas.openxmlformats.org/drawingml/2006/main" w="9525" cmpd="sng">
                <a:solidFill>
                  <a:schemeClr val="accent3">
                    <a:shade val="95000"/>
                  </a:schemeClr>
                </a:solidFill>
              </a:ln>
            </c:spPr>
          </c:dPt>
          <c:dPt>
            <c:idx val="3"/>
            <c:spPr>
              <a:gradFill xmlns:a="http://schemas.openxmlformats.org/drawingml/2006/main" rotWithShape="1">
                <a:gsLst>
                  <a:gs pos="0">
                    <a:schemeClr val="accent4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4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4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xmlns:a="http://schemas.openxmlformats.org/drawingml/2006/main" w="9525" cmpd="sng">
                <a:solidFill>
                  <a:schemeClr val="accent4">
                    <a:shade val="95000"/>
                  </a:schemeClr>
                </a:solidFill>
              </a:ln>
            </c:spPr>
          </c:dPt>
          <c:dPt>
            <c:idx val="4"/>
            <c:spPr>
              <a:gradFill xmlns:a="http://schemas.openxmlformats.org/drawingml/2006/main" rotWithShape="1">
                <a:gsLst>
                  <a:gs pos="0">
                    <a:schemeClr val="accent5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5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5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xmlns:a="http://schemas.openxmlformats.org/drawingml/2006/main" w="9525" cmpd="sng">
                <a:solidFill>
                  <a:schemeClr val="accent5">
                    <a:shade val="95000"/>
                  </a:schemeClr>
                </a:solidFill>
              </a:ln>
            </c:spPr>
          </c:dPt>
          <c:dPt>
            <c:idx val="5"/>
            <c:spPr>
              <a:gradFill xmlns:a="http://schemas.openxmlformats.org/drawingml/2006/main" rotWithShape="1">
                <a:gsLst>
                  <a:gs pos="0">
                    <a:schemeClr val="accent6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6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6">
                      <a:tint val="81000"/>
                      <a:lumMod val="105000"/>
                      <a:satMod val="109000"/>
                    </a:schemeClr>
                  </a:gs>
                </a:gsLst>
                <a:lin ang="5400000" scaled="0"/>
              </a:gradFill>
              <a:ln xmlns:a="http://schemas.openxmlformats.org/drawingml/2006/main" w="9525" cmpd="sng">
                <a:solidFill>
                  <a:schemeClr val="accent6">
                    <a:shade val="95000"/>
                  </a:schemeClr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noFill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ae5d29930d4924"/>
        </a:graphicData>
      </a:graphic>
    </xdr:graphicFrame>
    <xdr:clientData/>
  </xdr:twoCellAnchor>
  <xdr:twoCellAnchor editAs="oneCell">
    <xdr:from>
      <xdr:col>0</xdr:col>
      <xdr:colOff>199066</xdr:colOff>
      <xdr:row>0</xdr:row>
      <xdr:rowOff>183696</xdr:rowOff>
    </xdr:from>
    <xdr:to>
      <xdr:col>5</xdr:col>
      <xdr:colOff>39273</xdr:colOff>
      <xdr:row>9</xdr:row>
      <xdr:rowOff>25401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de2dd6164943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Luis Sá" id="{BB92FAD2-ABAC-4EFB-A5AB-3DF04CAD00CB}"/>
</xltc: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19" dT="2026-08-18T22:41:33.806" personId="{BB92FAD2-ABAC-4EFB-A5AB-3DF04CAD00CB}" id="{8D1B79D8-D928-91BA-D086-ECD88A3C0E52}">
    <xltc:text>Premissa educacional: informe a taxa mensal esperada. Rentabilidade passada não garante retorno futuro.</xltc:text>
  </xltc:threadedComment>
  <xltc:threadedComment ref="C32" dT="2026-08-18T22:41:33.807" personId="{BB92FAD2-ABAC-4EFB-A5AB-3DF04CAD00CB}" id="{6FE0CD38-CB38-BEF4-2E7B-7FC7441BD1FD}">
    <xltc:text>Escolha um perfil para atualizar automaticamente a distribuição sugerida entre os tipos de FII.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8b4be2b6b554a77" /><Relationship Type="http://schemas.openxmlformats.org/officeDocument/2006/relationships/vmlDrawing" Target="/xl/drawings/vmldrawing.vml" Id="R377a5b921608443d" /><Relationship Type="http://schemas.microsoft.com/office/2017/10/relationships/threadedComment" Target="/xl/threadedcomments/threadedcomment.xml" Id="Ra7f20e1f54984f0b" /><Relationship Type="http://schemas.openxmlformats.org/officeDocument/2006/relationships/drawing" Target="/xl/drawings/drawing1.xml" Id="Rae0ce611deb541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5.453125" customWidth="1"/>
    <x:col min="2" max="2" width="46.81640625" customWidth="1"/>
    <x:col min="3" max="3" width="17.453125" customWidth="1"/>
    <x:col min="4" max="4" width="15" customWidth="1"/>
    <x:col min="5" max="8" width="3.54296875" customWidth="1"/>
    <x:col min="9" max="16384" width="8.7265625" hidden="1" customWidth="0"/>
  </x:cols>
  <x:sheetData>
    <x:row r="9" ht="28" customHeight="1">
      <x:c r="B9" s="77" t="str">
        <x:v>Edite somente as células em azul. Resultados são calculados automaticamente.</x:v>
      </x:c>
      <x:c r="C9" s="77"/>
      <x:c r="D9" s="77"/>
    </x:row>
    <x:row r="10" ht="15"/>
    <x:row r="11" ht="26">
      <x:c r="B11" s="5" t="s">
        <x:v>0</x:v>
      </x:c>
      <x:c r="C11" s="6"/>
      <x:c r="D11" s="7"/>
    </x:row>
    <x:row r="12" ht="17.5">
      <x:c r="B12" s="21" t="s">
        <x:v>1</x:v>
      </x:c>
      <x:c r="C12" s="22"/>
      <x:c r="D12" s="56">
        <x:v>2000</x:v>
      </x:c>
    </x:row>
    <x:row r="13" ht="17.5">
      <x:c r="B13" s="24" t="s">
        <x:v>2</x:v>
      </x:c>
      <x:c r="C13" s="25"/>
      <x:c r="D13" s="57">
        <x:v>6.0000000000000001E-3</x:v>
      </x:c>
    </x:row>
    <x:row r="14" ht="18">
      <x:c r="B14" s="36" t="s">
        <x:v>3</x:v>
      </x:c>
      <x:c r="C14" s="37"/>
      <x:c r="D14" s="62" t="n">
        <x:f>D12*30%</x:f>
        <x:v>600</x:v>
      </x:c>
    </x:row>
    <x:row r="15" ht="15">
      <x:c r="D15" s="63"/>
    </x:row>
    <x:row r="16" ht="28.5" customHeight="1">
      <x:c r="B16" s="8" t="s">
        <x:v>4</x:v>
      </x:c>
      <x:c r="C16" s="9"/>
      <x:c r="D16" s="64"/>
    </x:row>
    <x:row r="17" ht="17.5">
      <x:c r="B17" s="21" t="s">
        <x:v>5</x:v>
      </x:c>
      <x:c r="C17" s="22"/>
      <x:c r="D17" s="65">
        <x:v>200</x:v>
      </x:c>
    </x:row>
    <x:row r="18" ht="17.5">
      <x:c r="B18" s="24" t="s">
        <x:v>6</x:v>
      </x:c>
      <x:c r="C18" s="25"/>
      <x:c r="D18" s="66">
        <x:v>5</x:v>
      </x:c>
    </x:row>
    <x:row r="19" ht="17.5">
      <x:c r="B19" s="24" t="s">
        <x:v>7</x:v>
      </x:c>
      <x:c r="C19" s="25"/>
      <x:c r="D19" s="67">
        <x:v>1.0789999999999999E-2</x:v>
      </x:c>
    </x:row>
    <x:row r="20" ht="17.5">
      <x:c r="B20" s="28" t="s">
        <x:v>8</x:v>
      </x:c>
      <x:c r="C20" s="29"/>
      <x:c r="D20" s="68" t="n">
        <x:f>FV(taxa_mensal,qtd_anos*12,aporte*-1)</x:f>
        <x:v>16755.382799697472</x:v>
      </x:c>
    </x:row>
    <x:row r="21" ht="18">
      <x:c r="B21" s="31" t="s">
        <x:v>9</x:v>
      </x:c>
      <x:c r="C21" s="32"/>
      <x:c r="D21" s="69" t="n">
        <x:f>patrimonio*rendimento_carteira</x:f>
        <x:v>100.53229679818483</x:v>
      </x:c>
      <x:c r="F21" s="3"/>
    </x:row>
    <x:row r="22" ht="15"/>
    <x:row r="23" ht="29">
      <x:c r="B23" s="8" t="s">
        <x:v>10</x:v>
      </x:c>
      <x:c r="C23" s="9"/>
      <x:c r="D23" s="11" t="s">
        <x:v>11</x:v>
      </x:c>
    </x:row>
    <x:row r="24" ht="17.5">
      <x:c r="A24" s="1">
        <x:v>2</x:v>
      </x:c>
      <x:c r="B24" s="12" t="s">
        <x:v>12</x:v>
      </x:c>
      <x:c r="C24" s="13" t="n">
        <x:f>FV($D$19,$A24*12,$D$17*-1)</x:f>
        <x:v>5445.525459529027</x:v>
      </x:c>
      <x:c r="D24" s="14" t="n">
        <x:f>C24*rendimento_carteira</x:f>
        <x:v>32.673152757174165</x:v>
      </x:c>
    </x:row>
    <x:row r="25" ht="17.5">
      <x:c r="A25" s="1">
        <x:v>5</x:v>
      </x:c>
      <x:c r="B25" s="15" t="s">
        <x:v>13</x:v>
      </x:c>
      <x:c r="C25" s="16" t="n">
        <x:f>FV($D$19,$A25*12,$D$17*-1)</x:f>
        <x:v>16755.382799697472</x:v>
      </x:c>
      <x:c r="D25" s="17" t="n">
        <x:f>C25*rendimento_carteira</x:f>
        <x:v>100.53229679818483</x:v>
      </x:c>
    </x:row>
    <x:row r="26" ht="17.5">
      <x:c r="A26" s="1">
        <x:v>10</x:v>
      </x:c>
      <x:c r="B26" s="15" t="s">
        <x:v>14</x:v>
      </x:c>
      <x:c r="C26" s="16" t="n">
        <x:f>FV($D$19,$A26*12,$D$17*-1)</x:f>
        <x:v>48656.84250603421</x:v>
      </x:c>
      <x:c r="D26" s="17" t="n">
        <x:f>C26*rendimento_carteira</x:f>
        <x:v>291.9410550362053</x:v>
      </x:c>
    </x:row>
    <x:row r="27" ht="17.5">
      <x:c r="A27" s="1">
        <x:v>20</x:v>
      </x:c>
      <x:c r="B27" s="15" t="s">
        <x:v>15</x:v>
      </x:c>
      <x:c r="C27" s="16" t="n">
        <x:f>FV($D$19,$A27*12,$D$17*-1)</x:f>
        <x:v>225039.68001941452</x:v>
      </x:c>
      <x:c r="D27" s="17" t="n">
        <x:f>C27*rendimento_carteira</x:f>
        <x:v>1350.238080116487</x:v>
      </x:c>
    </x:row>
    <x:row r="28" ht="18">
      <x:c r="A28" s="1">
        <x:v>30</x:v>
      </x:c>
      <x:c r="B28" s="18" t="s">
        <x:v>16</x:v>
      </x:c>
      <x:c r="C28" s="19" t="n">
        <x:f>FV($D$19,$A28*12,$D$17*-1)</x:f>
        <x:v>864433.9310009342</x:v>
      </x:c>
      <x:c r="D28" s="20" t="n">
        <x:f>C28*rendimento_carteira</x:f>
        <x:v>5186.603586005605</x:v>
      </x:c>
    </x:row>
    <x:row r="32">
      <x:c r="B32" s="39" t="s">
        <x:v>17</x:v>
      </x:c>
      <x:c r="C32" s="61" t="s">
        <x:v>18</x:v>
      </x:c>
      <x:c r="D32" s="39"/>
    </x:row>
    <x:row r="33">
      <x:c r="B33" s="41" t="s">
        <x:v>19</x:v>
      </x:c>
      <x:c r="C33" s="42" t="n">
        <x:f>aporte</x:f>
        <x:v>200</x:v>
      </x:c>
      <x:c r="D33" s="41"/>
    </x:row>
    <x:row r="35">
      <x:c r="B35" s="43" t="s">
        <x:v>20</x:v>
      </x:c>
      <x:c r="C35" s="43" t="s">
        <x:v>21</x:v>
      </x:c>
      <x:c r="D35" s="43" t="s">
        <x:v>22</x:v>
      </x:c>
    </x:row>
    <x:row r="36">
      <x:c r="B36" s="2" t="s">
        <x:v>23</x:v>
      </x:c>
      <x:c r="C36" s="70" t="n">
        <x:f>VLOOKUP($C$32&amp;"-"&amp;B36,'Planilha2'!$A$3:$D$20,4,FALSE)</x:f>
        <x:v>0.32</x:v>
      </x:c>
      <x:c r="D36" s="46" t="n">
        <x:f>C36*$C$33</x:f>
        <x:v>64</x:v>
      </x:c>
    </x:row>
    <x:row r="37">
      <x:c r="B37" s="2" t="s">
        <x:v>24</x:v>
      </x:c>
      <x:c r="C37" s="70" t="n">
        <x:f>VLOOKUP($C$32&amp;"-"&amp;B37,'Planilha2'!$A$3:$D$20,4,FALSE)</x:f>
        <x:v>0.35</x:v>
      </x:c>
      <x:c r="D37" s="46" t="n">
        <x:f t="shared" ref="D37:D41" si="0">C37*$C$33</x:f>
        <x:v>70</x:v>
      </x:c>
    </x:row>
    <x:row r="38">
      <x:c r="B38" s="2" t="s">
        <x:v>25</x:v>
      </x:c>
      <x:c r="C38" s="70" t="n">
        <x:f>VLOOKUP($C$32&amp;"-"&amp;B38,'Planilha2'!$A$3:$D$20,4,FALSE)</x:f>
        <x:v>0.08</x:v>
      </x:c>
      <x:c r="D38" s="46" t="n">
        <x:f t="shared" si="0">C38*$C$33</x:f>
        <x:v>16</x:v>
      </x:c>
    </x:row>
    <x:row r="39">
      <x:c r="B39" s="2" t="s">
        <x:v>26</x:v>
      </x:c>
      <x:c r="C39" s="70" t="n">
        <x:f>VLOOKUP($C$32&amp;"-"&amp;B39,'Planilha2'!$A$3:$D$20,4,FALSE)</x:f>
        <x:v>0.05</x:v>
      </x:c>
      <x:c r="D39" s="46" t="n">
        <x:f t="shared" si="0">C39*$C$33</x:f>
        <x:v>10</x:v>
      </x:c>
    </x:row>
    <x:row r="40">
      <x:c r="B40" s="2" t="s">
        <x:v>27</x:v>
      </x:c>
      <x:c r="C40" s="70" t="n">
        <x:f>VLOOKUP($C$32&amp;"-"&amp;B40,'Planilha2'!$A$3:$D$20,4,FALSE)</x:f>
        <x:v>0.1</x:v>
      </x:c>
      <x:c r="D40" s="46" t="n">
        <x:f t="shared" si="0">C40*$C$33</x:f>
        <x:v>20</x:v>
      </x:c>
    </x:row>
    <x:row r="41">
      <x:c r="B41" s="2" t="s">
        <x:v>28</x:v>
      </x:c>
      <x:c r="C41" s="70" t="n">
        <x:f>VLOOKUP($C$32&amp;"-"&amp;B41,'Planilha2'!$A$3:$D$20,4,FALSE)</x:f>
        <x:v>0.1</x:v>
      </x:c>
      <x:c r="D41" s="46" t="n">
        <x:f t="shared" si="0">C41*$C$33</x:f>
        <x:v>20</x:v>
      </x:c>
    </x:row>
    <x:row r="42">
      <x:c r="B42" s="44"/>
      <x:c r="C42" s="44"/>
      <x:c r="D42" s="45" t="n">
        <x:f>SUM(D36:D41)</x:f>
        <x:v>200</x:v>
      </x:c>
    </x:row>
    <x:row r="49"/>
    <x:row r="50"/>
    <x:row r="51"/>
    <x:row r="52"/>
    <x:row r="53"/>
    <x:row r="54"/>
    <x:row r="55"/>
    <x:row r="56"/>
    <x:row r="57"/>
  </x:sheetData>
  <x:mergeCells>
    <x:mergeCell ref="B17:C17"/>
    <x:mergeCell ref="B18:C18"/>
    <x:mergeCell ref="B19:C19"/>
    <x:mergeCell ref="B21:C21"/>
    <x:mergeCell ref="B16:D16"/>
    <x:mergeCell ref="B12:C12"/>
    <x:mergeCell ref="B13:C13"/>
    <x:mergeCell ref="B14:C14"/>
    <x:mergeCell ref="B20:C20"/>
    <x:mergeCell ref="B23:C23"/>
    <x:mergeCell ref="B9:D9"/>
  </x:mergeCells>
  <x:dataValidations count="6">
    <x:dataValidation type="list" allowBlank="1" showInputMessage="1" showErrorMessage="1" sqref="C32">
      <x:formula1>"Conservador,Moderado,Agressivo"</x:formula1>
    </x:dataValidation>
    <x:dataValidation type="decimal" operator="greaterThan" sqref="D12">
      <x:formula1>0</x:formula1>
    </x:dataValidation>
    <x:dataValidation type="decimal" operator="between" sqref="D13">
      <x:formula1>0</x:formula1>
      <x:formula2>1</x:formula2>
    </x:dataValidation>
    <x:dataValidation type="decimal" operator="greaterThan" sqref="D17">
      <x:formula1>0</x:formula1>
    </x:dataValidation>
    <x:dataValidation type="whole" operator="between" sqref="D18">
      <x:formula1>1</x:formula1>
      <x:formula2>50</x:formula2>
    </x:dataValidation>
    <x:dataValidation type="decimal" operator="between" sqref="D19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ae0ce611deb54152"/>
  <x:legacyDrawing xmlns:r="http://schemas.openxmlformats.org/officeDocument/2006/relationships" r:id="R377a5b921608443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29.1796875" customWidth="1"/>
    <x:col min="2" max="2" width="11.54296875" customWidth="1"/>
    <x:col min="3" max="3" width="17.7265625" customWidth="1"/>
    <x:col min="7" max="7" width="15.36328125" customWidth="1"/>
  </x:cols>
  <x:sheetData>
    <x:row r="2">
      <x:c r="A2" s="54" t="s">
        <x:v>29</x:v>
      </x:c>
      <x:c r="B2" s="54" t="s">
        <x:v>17</x:v>
      </x:c>
      <x:c r="C2" s="55" t="s">
        <x:v>20</x:v>
      </x:c>
      <x:c r="D2" s="55" t="s">
        <x:v>30</x:v>
      </x:c>
    </x:row>
    <x:row r="3">
      <x:c r="A3" s="63" t="str">
        <x:f>B3&amp;"-"&amp;C3</x:f>
        <x:v>Conservador-PAPEL</x:v>
      </x:c>
      <x:c r="B3" t="s">
        <x:v>31</x:v>
      </x:c>
      <x:c r="C3" s="2" t="s">
        <x:v>23</x:v>
      </x:c>
      <x:c r="D3" s="4">
        <x:v>0.3</x:v>
      </x:c>
      <x:c r="H3" t="s">
        <x:v>30</x:v>
      </x:c>
    </x:row>
    <x:row r="4">
      <x:c r="A4" s="63" t="str">
        <x:f t="shared" ref="A4:A20" si="0">B4&amp;"-"&amp;C4</x:f>
        <x:v>Conservador-TIJOLO</x:v>
      </x:c>
      <x:c r="B4" t="s">
        <x:v>31</x:v>
      </x:c>
      <x:c r="C4" s="2" t="s">
        <x:v>24</x:v>
      </x:c>
      <x:c r="D4" s="4">
        <x:v>0.5</x:v>
      </x:c>
      <x:c r="G4" s="39" t="s">
        <x:v>32</x:v>
      </x:c>
      <x:c r="H4" s="53" t="n">
        <x:f>VLOOKUP(G4,$A:$D,4,FALSE)</x:f>
        <x:v>0.35</x:v>
      </x:c>
    </x:row>
    <x:row r="5">
      <x:c r="A5" s="63" t="str">
        <x:f t="shared" si="0"/>
        <x:v>Conservador-HÍBRIDOS</x:v>
      </x:c>
      <x:c r="B5" t="s">
        <x:v>31</x:v>
      </x:c>
      <x:c r="C5" s="2" t="s">
        <x:v>25</x:v>
      </x:c>
      <x:c r="D5" s="4">
        <x:v>0.1</x:v>
      </x:c>
    </x:row>
    <x:row r="6">
      <x:c r="A6" s="63" t="str">
        <x:f t="shared" si="0"/>
        <x:v>Conservador-FOFs</x:v>
      </x:c>
      <x:c r="B6" t="s">
        <x:v>31</x:v>
      </x:c>
      <x:c r="C6" s="2" t="s">
        <x:v>26</x:v>
      </x:c>
      <x:c r="D6" s="4">
        <x:v>0.1</x:v>
      </x:c>
    </x:row>
    <x:row r="7">
      <x:c r="A7" s="63" t="str">
        <x:f t="shared" si="0"/>
        <x:v>Conservador-DESENVOLVIMENTO</x:v>
      </x:c>
      <x:c r="B7" t="s">
        <x:v>31</x:v>
      </x:c>
      <x:c r="C7" s="2" t="s">
        <x:v>27</x:v>
      </x:c>
      <x:c r="D7" s="4">
        <x:v>0</x:v>
      </x:c>
    </x:row>
    <x:row r="8" ht="15">
      <x:c r="A8" s="71" t="str">
        <x:f t="shared" si="0"/>
        <x:v>Conservador-HOTELARIAS</x:v>
      </x:c>
      <x:c r="B8" s="47" t="s">
        <x:v>31</x:v>
      </x:c>
      <x:c r="C8" s="48" t="s">
        <x:v>28</x:v>
      </x:c>
      <x:c r="D8" s="49">
        <x:v>0</x:v>
      </x:c>
    </x:row>
    <x:row r="9">
      <x:c r="A9" s="63" t="str">
        <x:f t="shared" si="0"/>
        <x:v>Moderado-PAPEL</x:v>
      </x:c>
      <x:c r="B9" t="s">
        <x:v>18</x:v>
      </x:c>
      <x:c r="C9" s="2" t="s">
        <x:v>23</x:v>
      </x:c>
      <x:c r="D9" s="4">
        <x:v>0.32</x:v>
      </x:c>
    </x:row>
    <x:row r="10">
      <x:c r="A10" s="72" t="str">
        <x:f t="shared" si="0"/>
        <x:v>Moderado-TIJOLO</x:v>
      </x:c>
      <x:c r="B10" s="50" t="s">
        <x:v>18</x:v>
      </x:c>
      <x:c r="C10" s="51" t="s">
        <x:v>24</x:v>
      </x:c>
      <x:c r="D10" s="52">
        <x:v>0.35</x:v>
      </x:c>
    </x:row>
    <x:row r="11">
      <x:c r="A11" s="63" t="str">
        <x:f t="shared" si="0"/>
        <x:v>Moderado-HÍBRIDOS</x:v>
      </x:c>
      <x:c r="B11" t="s">
        <x:v>18</x:v>
      </x:c>
      <x:c r="C11" s="2" t="s">
        <x:v>25</x:v>
      </x:c>
      <x:c r="D11" s="4">
        <x:v>0.08</x:v>
      </x:c>
    </x:row>
    <x:row r="12">
      <x:c r="A12" s="63" t="str">
        <x:f t="shared" si="0"/>
        <x:v>Moderado-FOFs</x:v>
      </x:c>
      <x:c r="B12" t="s">
        <x:v>18</x:v>
      </x:c>
      <x:c r="C12" s="2" t="s">
        <x:v>26</x:v>
      </x:c>
      <x:c r="D12" s="4">
        <x:v>0.05</x:v>
      </x:c>
    </x:row>
    <x:row r="13">
      <x:c r="A13" s="63" t="str">
        <x:f t="shared" si="0"/>
        <x:v>Moderado-DESENVOLVIMENTO</x:v>
      </x:c>
      <x:c r="B13" t="s">
        <x:v>18</x:v>
      </x:c>
      <x:c r="C13" s="2" t="s">
        <x:v>27</x:v>
      </x:c>
      <x:c r="D13" s="4">
        <x:v>0.1</x:v>
      </x:c>
    </x:row>
    <x:row r="14" ht="15">
      <x:c r="A14" s="71" t="str">
        <x:f t="shared" si="0"/>
        <x:v>Moderado-HOTELARIAS</x:v>
      </x:c>
      <x:c r="B14" s="47" t="s">
        <x:v>18</x:v>
      </x:c>
      <x:c r="C14" s="48" t="s">
        <x:v>28</x:v>
      </x:c>
      <x:c r="D14" s="49">
        <x:v>0.1</x:v>
      </x:c>
    </x:row>
    <x:row r="15">
      <x:c r="A15" s="63" t="str">
        <x:f t="shared" si="0"/>
        <x:v>Agressivo-PAPEL</x:v>
      </x:c>
      <x:c r="B15" t="s">
        <x:v>33</x:v>
      </x:c>
      <x:c r="C15" s="2" t="s">
        <x:v>23</x:v>
      </x:c>
      <x:c r="D15" s="4">
        <x:v>0.5</x:v>
      </x:c>
    </x:row>
    <x:row r="16">
      <x:c r="A16" s="63" t="str">
        <x:f t="shared" si="0"/>
        <x:v>Agressivo-TIJOLO</x:v>
      </x:c>
      <x:c r="B16" t="s">
        <x:v>33</x:v>
      </x:c>
      <x:c r="C16" s="2" t="s">
        <x:v>24</x:v>
      </x:c>
      <x:c r="D16" s="4">
        <x:v>0.1</x:v>
      </x:c>
    </x:row>
    <x:row r="17">
      <x:c r="A17" s="63" t="str">
        <x:f t="shared" si="0"/>
        <x:v>Agressivo-HÍBRIDOS</x:v>
      </x:c>
      <x:c r="B17" t="s">
        <x:v>33</x:v>
      </x:c>
      <x:c r="C17" s="2" t="s">
        <x:v>25</x:v>
      </x:c>
      <x:c r="D17" s="4">
        <x:v>0.05</x:v>
      </x:c>
    </x:row>
    <x:row r="18">
      <x:c r="A18" s="63" t="str">
        <x:f t="shared" si="0"/>
        <x:v>Agressivo-FOFs</x:v>
      </x:c>
      <x:c r="B18" t="s">
        <x:v>33</x:v>
      </x:c>
      <x:c r="C18" s="2" t="s">
        <x:v>26</x:v>
      </x:c>
      <x:c r="D18" s="4">
        <x:v>0.05</x:v>
      </x:c>
    </x:row>
    <x:row r="19">
      <x:c r="A19" s="63" t="str">
        <x:f t="shared" si="0"/>
        <x:v>Agressivo-DESENVOLVIMENTO</x:v>
      </x:c>
      <x:c r="B19" t="s">
        <x:v>33</x:v>
      </x:c>
      <x:c r="C19" s="2" t="s">
        <x:v>27</x:v>
      </x:c>
      <x:c r="D19" s="4">
        <x:v>0.2</x:v>
      </x:c>
    </x:row>
    <x:row r="20">
      <x:c r="A20" s="63" t="str">
        <x:f t="shared" si="0"/>
        <x:v>Agressivo-HOTELARIAS</x:v>
      </x:c>
      <x:c r="B20" t="s">
        <x:v>33</x:v>
      </x:c>
      <x:c r="C20" s="2" t="s">
        <x:v>28</x:v>
      </x:c>
      <x:c r="D20" s="4">
        <x:v>0.1</x:v>
      </x:c>
    </x:row>
    <x:row r="21">
      <x:c r="D21" s="2"/>
    </x:row>
  </x:sheetData>
  <x:pageMargins left="0.7" right="0.7" top="0.75" bottom="0.75" header="0.3" footer="0.3"/>
</x:worksheet>
</file>